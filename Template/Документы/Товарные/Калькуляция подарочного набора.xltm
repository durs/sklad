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"/>
  <bookViews>
    <workbookView xWindow="0" yWindow="0" windowWidth="9645" windowHeight="4425" activeTab="1"/>
  </bookViews>
  <sheets>
    <sheet name="Work" sheetId="2" r:id="rId1"/>
    <sheet name="004 лот1" sheetId="1" r:id="rId2"/>
  </sheets>
  <definedNames>
    <definedName name="_xlnm._FilterDatabase" localSheetId="1" hidden="1">'004 лот1'!$E$1:$E$185</definedName>
    <definedName name="doc_cnt">'004 лот1'!$J$15</definedName>
    <definedName name="doc_lot">'004 лот1'!$A$7</definedName>
    <definedName name="doc_no">'004 лот1'!$J$6</definedName>
    <definedName name="pack_cnt">'004 лот1'!$E$13</definedName>
    <definedName name="pack_name">'004 лот1'!$B$13</definedName>
    <definedName name="pack_price">'004 лот1'!$K$13</definedName>
    <definedName name="ProdRec">'004 лот1'!$10:$10</definedName>
    <definedName name="rec.allcnt">'004 лот1'!$E$10</definedName>
    <definedName name="rec.productname">'004 лот1'!$B$10</definedName>
    <definedName name="rec.produser">'004 лот1'!$C$10</definedName>
    <definedName name="rec.summ">'004 лот1'!$H$10</definedName>
    <definedName name="rec.weight">'004 лот1'!$F$10</definedName>
    <definedName name="rec_no">'004 лот1'!$A$10</definedName>
    <definedName name="_xlnm.Print_Area" localSheetId="1">'004 лот1'!$A$1:$K$21</definedName>
  </definedNames>
  <calcPr calcId="145621"/>
</workbook>
</file>

<file path=xl/calcChain.xml><?xml version="1.0" encoding="utf-8"?>
<calcChain xmlns="http://schemas.openxmlformats.org/spreadsheetml/2006/main">
  <c r="J16" i="1" l="1"/>
  <c r="J17" i="1" s="1"/>
  <c r="G10" i="1" l="1"/>
  <c r="J10" i="1" s="1"/>
  <c r="B19" i="1"/>
  <c r="J15" i="1"/>
  <c r="D10" i="1"/>
  <c r="I10" i="1" l="1"/>
  <c r="K10" i="1" s="1"/>
  <c r="K14" i="1" s="1"/>
  <c r="I14" i="1" l="1"/>
</calcChain>
</file>

<file path=xl/sharedStrings.xml><?xml version="1.0" encoding="utf-8"?>
<sst xmlns="http://schemas.openxmlformats.org/spreadsheetml/2006/main" count="25" uniqueCount="24">
  <si>
    <t>ООО "Компания "Рубин"</t>
  </si>
  <si>
    <t>Утверждаю:</t>
  </si>
  <si>
    <t>Генеральный директор</t>
  </si>
  <si>
    <t>____________/А.М.Совцова/</t>
  </si>
  <si>
    <t>ЛОТ</t>
  </si>
  <si>
    <t>Калькуляция набора кондитерских изделий Подарочный №</t>
  </si>
  <si>
    <t>№ п/п</t>
  </si>
  <si>
    <t xml:space="preserve">Наименование </t>
  </si>
  <si>
    <t>Предприятие-изготовитель</t>
  </si>
  <si>
    <t>Вес, кг</t>
  </si>
  <si>
    <t>Вес в подарке, кг</t>
  </si>
  <si>
    <t>Сумма, руб</t>
  </si>
  <si>
    <t>Сумма</t>
  </si>
  <si>
    <t>Цена</t>
  </si>
  <si>
    <t xml:space="preserve">УПАКОВКА  </t>
  </si>
  <si>
    <t>Итого на 1 НКИ</t>
  </si>
  <si>
    <t>Количество НКИ, штук</t>
  </si>
  <si>
    <t>Общая сумма, рублей</t>
  </si>
  <si>
    <t>Исполнитель</t>
  </si>
  <si>
    <t>_________________________/Кутузова Т. А./</t>
  </si>
  <si>
    <t>Вес места</t>
  </si>
  <si>
    <t>Всего мест</t>
  </si>
  <si>
    <t>Цена 1 кг, руб</t>
  </si>
  <si>
    <t>В т.ч. НДС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</si>
</sst>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F800]dddd\,\ mmmm\ dd\,\ yyyy"/>
  </numFmts>
  <fonts count="38" x14ac:knownFonts="1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9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6"/>
      <color indexed="8"/>
      <name val="Arial"/>
      <family val="2"/>
      <charset val="204"/>
    </font>
    <font>
      <b/>
      <sz val="14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6"/>
      <color indexed="8"/>
      <name val="Times New Roman"/>
      <family val="1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b/>
      <sz val="14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i/>
      <sz val="11"/>
      <name val="Times New Roman"/>
      <family val="1"/>
    </font>
    <font>
      <b/>
      <i/>
      <sz val="14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4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" fillId="0" borderId="0">
      <alignment horizontal="center" vertical="center"/>
    </xf>
    <xf numFmtId="0" fontId="4" fillId="0" borderId="0">
      <alignment horizontal="center" vertical="center"/>
    </xf>
    <xf numFmtId="0" fontId="5" fillId="0" borderId="0">
      <alignment horizontal="center" vertical="top"/>
    </xf>
    <xf numFmtId="0" fontId="4" fillId="0" borderId="0">
      <alignment horizontal="right" vertical="top"/>
    </xf>
    <xf numFmtId="0" fontId="5" fillId="0" borderId="0">
      <alignment horizontal="right" vertical="top"/>
    </xf>
    <xf numFmtId="0" fontId="6" fillId="0" borderId="0">
      <alignment horizontal="right" vertical="center"/>
    </xf>
    <xf numFmtId="0" fontId="5" fillId="0" borderId="0">
      <alignment horizontal="center" vertical="center"/>
    </xf>
    <xf numFmtId="0" fontId="5" fillId="0" borderId="0">
      <alignment horizontal="right" vertical="center"/>
    </xf>
    <xf numFmtId="0" fontId="5" fillId="0" borderId="0">
      <alignment horizontal="left" vertical="center"/>
    </xf>
    <xf numFmtId="0" fontId="4" fillId="0" borderId="0">
      <alignment horizontal="left" vertical="center"/>
    </xf>
    <xf numFmtId="0" fontId="4" fillId="0" borderId="0">
      <alignment horizontal="lef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9" fillId="0" borderId="0">
      <alignment horizontal="left" vertical="top"/>
    </xf>
    <xf numFmtId="0" fontId="4" fillId="0" borderId="0">
      <alignment horizontal="left" vertical="top"/>
    </xf>
    <xf numFmtId="0" fontId="4" fillId="0" borderId="0">
      <alignment horizontal="left" vertical="center"/>
    </xf>
    <xf numFmtId="0" fontId="6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center" vertical="top"/>
    </xf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10" fillId="5" borderId="1" applyNumberFormat="0" applyAlignment="0" applyProtection="0"/>
    <xf numFmtId="0" fontId="11" fillId="12" borderId="2" applyNumberFormat="0" applyAlignment="0" applyProtection="0"/>
    <xf numFmtId="0" fontId="12" fillId="12" borderId="1" applyNumberFormat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13" fillId="0" borderId="0"/>
    <xf numFmtId="0" fontId="1" fillId="0" borderId="0"/>
    <xf numFmtId="0" fontId="1" fillId="0" borderId="0"/>
    <xf numFmtId="0" fontId="21" fillId="4" borderId="0" applyNumberFormat="0" applyBorder="0" applyAlignment="0" applyProtection="0"/>
    <xf numFmtId="0" fontId="22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5" fillId="6" borderId="0" applyNumberFormat="0" applyBorder="0" applyAlignment="0" applyProtection="0"/>
  </cellStyleXfs>
  <cellXfs count="81">
    <xf numFmtId="0" fontId="0" fillId="0" borderId="0" xfId="0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64" fontId="28" fillId="0" borderId="0" xfId="0" applyNumberFormat="1" applyFont="1" applyAlignment="1">
      <alignment horizontal="center"/>
    </xf>
    <xf numFmtId="164" fontId="32" fillId="0" borderId="10" xfId="0" applyNumberFormat="1" applyFont="1" applyBorder="1" applyAlignment="1">
      <alignment horizontal="center" vertical="center"/>
    </xf>
    <xf numFmtId="2" fontId="32" fillId="0" borderId="10" xfId="0" applyNumberFormat="1" applyFont="1" applyBorder="1" applyAlignment="1">
      <alignment horizontal="center" vertical="center"/>
    </xf>
    <xf numFmtId="2" fontId="32" fillId="0" borderId="11" xfId="0" applyNumberFormat="1" applyFont="1" applyBorder="1" applyAlignment="1">
      <alignment horizontal="center" vertical="center"/>
    </xf>
    <xf numFmtId="0" fontId="32" fillId="0" borderId="12" xfId="0" applyFont="1" applyBorder="1"/>
    <xf numFmtId="1" fontId="32" fillId="0" borderId="14" xfId="0" applyNumberFormat="1" applyFont="1" applyBorder="1" applyAlignment="1">
      <alignment horizontal="center" vertical="center"/>
    </xf>
    <xf numFmtId="0" fontId="36" fillId="0" borderId="15" xfId="0" applyFont="1" applyBorder="1"/>
    <xf numFmtId="1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2" fontId="31" fillId="0" borderId="17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0" borderId="0" xfId="0" applyFont="1"/>
    <xf numFmtId="0" fontId="29" fillId="0" borderId="0" xfId="0" applyFont="1" applyAlignment="1">
      <alignment horizontal="center" vertical="center"/>
    </xf>
    <xf numFmtId="0" fontId="13" fillId="0" borderId="0" xfId="0" applyFont="1"/>
    <xf numFmtId="0" fontId="30" fillId="0" borderId="19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2" fillId="0" borderId="26" xfId="0" applyFont="1" applyBorder="1"/>
    <xf numFmtId="0" fontId="32" fillId="0" borderId="19" xfId="0" applyFont="1" applyBorder="1"/>
    <xf numFmtId="0" fontId="30" fillId="25" borderId="29" xfId="0" applyFont="1" applyFill="1" applyBorder="1" applyAlignment="1">
      <alignment horizontal="center"/>
    </xf>
    <xf numFmtId="2" fontId="34" fillId="0" borderId="30" xfId="0" applyNumberFormat="1" applyFont="1" applyBorder="1"/>
    <xf numFmtId="2" fontId="33" fillId="0" borderId="29" xfId="0" applyNumberFormat="1" applyFont="1" applyBorder="1" applyAlignment="1">
      <alignment horizontal="right"/>
    </xf>
    <xf numFmtId="0" fontId="32" fillId="0" borderId="29" xfId="0" applyFont="1" applyBorder="1" applyAlignment="1">
      <alignment horizontal="center" vertical="center"/>
    </xf>
    <xf numFmtId="2" fontId="32" fillId="0" borderId="31" xfId="0" applyNumberFormat="1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/>
    </xf>
    <xf numFmtId="0" fontId="32" fillId="0" borderId="13" xfId="0" applyFont="1" applyBorder="1"/>
    <xf numFmtId="2" fontId="35" fillId="0" borderId="13" xfId="0" applyNumberFormat="1" applyFont="1" applyBorder="1"/>
    <xf numFmtId="0" fontId="32" fillId="0" borderId="13" xfId="0" applyFont="1" applyBorder="1" applyAlignment="1">
      <alignment horizontal="center" vertical="center"/>
    </xf>
    <xf numFmtId="164" fontId="32" fillId="0" borderId="13" xfId="0" applyNumberFormat="1" applyFont="1" applyBorder="1" applyAlignment="1">
      <alignment horizontal="center" vertical="center"/>
    </xf>
    <xf numFmtId="2" fontId="32" fillId="0" borderId="13" xfId="0" applyNumberFormat="1" applyFont="1" applyBorder="1" applyAlignment="1">
      <alignment horizontal="center" vertical="center"/>
    </xf>
    <xf numFmtId="0" fontId="32" fillId="0" borderId="29" xfId="0" applyFont="1" applyBorder="1"/>
    <xf numFmtId="2" fontId="35" fillId="0" borderId="29" xfId="0" applyNumberFormat="1" applyFont="1" applyBorder="1"/>
    <xf numFmtId="164" fontId="32" fillId="0" borderId="29" xfId="0" applyNumberFormat="1" applyFont="1" applyBorder="1" applyAlignment="1">
      <alignment horizontal="center" vertical="center"/>
    </xf>
    <xf numFmtId="2" fontId="32" fillId="0" borderId="29" xfId="0" applyNumberFormat="1" applyFont="1" applyBorder="1" applyAlignment="1">
      <alignment horizontal="center" vertical="center"/>
    </xf>
    <xf numFmtId="2" fontId="32" fillId="0" borderId="32" xfId="0" applyNumberFormat="1" applyFont="1" applyBorder="1" applyAlignment="1">
      <alignment horizontal="center" vertical="center"/>
    </xf>
    <xf numFmtId="2" fontId="32" fillId="0" borderId="34" xfId="0" applyNumberFormat="1" applyFont="1" applyBorder="1" applyAlignment="1">
      <alignment horizontal="center" vertical="center"/>
    </xf>
    <xf numFmtId="0" fontId="32" fillId="0" borderId="27" xfId="0" applyFont="1" applyBorder="1"/>
    <xf numFmtId="2" fontId="35" fillId="0" borderId="27" xfId="0" applyNumberFormat="1" applyFont="1" applyBorder="1"/>
    <xf numFmtId="0" fontId="32" fillId="0" borderId="27" xfId="0" applyFont="1" applyBorder="1" applyAlignment="1">
      <alignment horizontal="center" vertical="center"/>
    </xf>
    <xf numFmtId="164" fontId="32" fillId="0" borderId="27" xfId="0" applyNumberFormat="1" applyFont="1" applyBorder="1" applyAlignment="1">
      <alignment horizontal="center" vertical="center"/>
    </xf>
    <xf numFmtId="2" fontId="32" fillId="0" borderId="27" xfId="0" applyNumberFormat="1" applyFont="1" applyBorder="1" applyAlignment="1">
      <alignment horizontal="center" vertical="center"/>
    </xf>
    <xf numFmtId="2" fontId="32" fillId="0" borderId="35" xfId="0" applyNumberFormat="1" applyFont="1" applyBorder="1" applyAlignment="1">
      <alignment horizontal="center" vertical="center"/>
    </xf>
    <xf numFmtId="1" fontId="32" fillId="0" borderId="10" xfId="0" applyNumberFormat="1" applyFont="1" applyBorder="1" applyAlignment="1">
      <alignment horizontal="center" vertical="center"/>
    </xf>
    <xf numFmtId="165" fontId="29" fillId="0" borderId="0" xfId="0" applyNumberFormat="1" applyFont="1" applyAlignment="1">
      <alignment horizontal="left" vertical="top"/>
    </xf>
    <xf numFmtId="0" fontId="29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164" fontId="33" fillId="0" borderId="29" xfId="0" applyNumberFormat="1" applyFont="1" applyBorder="1" applyAlignment="1">
      <alignment horizontal="center"/>
    </xf>
    <xf numFmtId="164" fontId="33" fillId="0" borderId="13" xfId="0" applyNumberFormat="1" applyFont="1" applyBorder="1" applyAlignment="1">
      <alignment horizontal="center"/>
    </xf>
    <xf numFmtId="164" fontId="33" fillId="0" borderId="27" xfId="0" applyNumberFormat="1" applyFont="1" applyBorder="1" applyAlignment="1">
      <alignment horizontal="center"/>
    </xf>
    <xf numFmtId="0" fontId="32" fillId="25" borderId="37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/>
    </xf>
    <xf numFmtId="0" fontId="33" fillId="25" borderId="39" xfId="0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1" fillId="0" borderId="15" xfId="0" applyFont="1" applyBorder="1" applyAlignment="1">
      <alignment horizontal="left"/>
    </xf>
    <xf numFmtId="0" fontId="31" fillId="0" borderId="16" xfId="0" applyFont="1" applyBorder="1" applyAlignment="1">
      <alignment horizontal="left"/>
    </xf>
    <xf numFmtId="0" fontId="31" fillId="0" borderId="18" xfId="0" applyFont="1" applyBorder="1" applyAlignment="1">
      <alignment horizontal="left"/>
    </xf>
    <xf numFmtId="2" fontId="31" fillId="0" borderId="15" xfId="0" applyNumberFormat="1" applyFont="1" applyBorder="1" applyAlignment="1">
      <alignment horizontal="right"/>
    </xf>
    <xf numFmtId="2" fontId="31" fillId="0" borderId="18" xfId="0" applyNumberFormat="1" applyFont="1" applyBorder="1" applyAlignment="1">
      <alignment horizontal="right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right"/>
    </xf>
    <xf numFmtId="2" fontId="31" fillId="24" borderId="15" xfId="0" applyNumberFormat="1" applyFont="1" applyFill="1" applyBorder="1" applyAlignment="1">
      <alignment horizontal="right"/>
    </xf>
    <xf numFmtId="2" fontId="31" fillId="24" borderId="18" xfId="0" applyNumberFormat="1" applyFont="1" applyFill="1" applyBorder="1" applyAlignment="1">
      <alignment horizontal="right"/>
    </xf>
    <xf numFmtId="49" fontId="31" fillId="0" borderId="23" xfId="0" applyNumberFormat="1" applyFont="1" applyBorder="1" applyAlignment="1">
      <alignment horizontal="center" vertical="center" wrapText="1"/>
    </xf>
    <xf numFmtId="49" fontId="31" fillId="0" borderId="25" xfId="0" applyNumberFormat="1" applyFont="1" applyBorder="1" applyAlignment="1">
      <alignment horizontal="center" vertical="center" wrapText="1"/>
    </xf>
    <xf numFmtId="0" fontId="32" fillId="0" borderId="40" xfId="0" applyFont="1" applyBorder="1" applyAlignment="1">
      <alignment horizontal="left" vertical="center"/>
    </xf>
    <xf numFmtId="0" fontId="32" fillId="0" borderId="41" xfId="0" applyFont="1" applyBorder="1" applyAlignment="1">
      <alignment horizontal="left" vertical="center"/>
    </xf>
    <xf numFmtId="0" fontId="32" fillId="0" borderId="4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</cellXfs>
  <cellStyles count="6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S0" xfId="19"/>
    <cellStyle name="S1" xfId="20"/>
    <cellStyle name="S10" xfId="21"/>
    <cellStyle name="S11" xfId="22"/>
    <cellStyle name="S12" xfId="23"/>
    <cellStyle name="S13" xfId="24"/>
    <cellStyle name="S14" xfId="25"/>
    <cellStyle name="S15" xfId="26"/>
    <cellStyle name="S16" xfId="27"/>
    <cellStyle name="S17" xfId="28"/>
    <cellStyle name="S18" xfId="29"/>
    <cellStyle name="S2" xfId="30"/>
    <cellStyle name="S3" xfId="31"/>
    <cellStyle name="S4" xfId="32"/>
    <cellStyle name="S5" xfId="33"/>
    <cellStyle name="S6" xfId="34"/>
    <cellStyle name="S7" xfId="35"/>
    <cellStyle name="S8" xfId="36"/>
    <cellStyle name="S9" xfId="37"/>
    <cellStyle name="Акцент1" xfId="38" builtinId="29" customBuiltin="1"/>
    <cellStyle name="Акцент2" xfId="39" builtinId="33" customBuiltin="1"/>
    <cellStyle name="Акцент3" xfId="40" builtinId="37" customBuiltin="1"/>
    <cellStyle name="Акцент4" xfId="41" builtinId="41" customBuiltin="1"/>
    <cellStyle name="Акцент5" xfId="42" builtinId="45" customBuiltin="1"/>
    <cellStyle name="Акцент6" xfId="43" builtinId="49" customBuiltin="1"/>
    <cellStyle name="Ввод " xfId="44" builtinId="20" customBuiltin="1"/>
    <cellStyle name="Вывод" xfId="45" builtinId="21" customBuiltin="1"/>
    <cellStyle name="Вычисление" xfId="46" builtinId="22" customBuiltin="1"/>
    <cellStyle name="Заголовок 1" xfId="47" builtinId="16" customBuiltin="1"/>
    <cellStyle name="Заголовок 2" xfId="48" builtinId="17" customBuiltin="1"/>
    <cellStyle name="Заголовок 3" xfId="49" builtinId="18" customBuiltin="1"/>
    <cellStyle name="Заголовок 4" xfId="50" builtinId="19" customBuiltin="1"/>
    <cellStyle name="Итог" xfId="51" builtinId="25" customBuiltin="1"/>
    <cellStyle name="Контрольная ячейка" xfId="52" builtinId="23" customBuiltin="1"/>
    <cellStyle name="Название" xfId="53" builtinId="15" customBuiltin="1"/>
    <cellStyle name="Нейтральный" xfId="54" builtinId="28" customBuiltin="1"/>
    <cellStyle name="Обычный" xfId="0" builtinId="0"/>
    <cellStyle name="Обычный 2" xfId="55"/>
    <cellStyle name="Обычный 3" xfId="56"/>
    <cellStyle name="Обычный 4" xfId="57"/>
    <cellStyle name="Плохой" xfId="58" builtinId="27" customBuiltin="1"/>
    <cellStyle name="Пояснение" xfId="59" builtinId="53" customBuiltin="1"/>
    <cellStyle name="Примечание" xfId="60" builtinId="10" customBuiltin="1"/>
    <cellStyle name="Связанная ячейка" xfId="61" builtinId="24" customBuiltin="1"/>
    <cellStyle name="Текст предупреждения" xfId="62" builtinId="11" customBuiltin="1"/>
    <cellStyle name="Хороший" xfId="63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k"/>
  <dimension ref="A1"/>
  <sheetViews>
    <sheetView workbookViewId="0">
      <selection activeCell="L28" sqref="L2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ge1">
    <tabColor rgb="FF00FF00"/>
    <pageSetUpPr fitToPage="1"/>
  </sheetPr>
  <dimension ref="A1:K180"/>
  <sheetViews>
    <sheetView tabSelected="1" zoomScale="90" zoomScaleNormal="90" workbookViewId="0">
      <selection activeCell="B1" sqref="B1"/>
    </sheetView>
  </sheetViews>
  <sheetFormatPr defaultRowHeight="12.75" x14ac:dyDescent="0.2"/>
  <cols>
    <col min="1" max="1" width="5.42578125" style="2" customWidth="1"/>
    <col min="2" max="2" width="41.7109375" style="2" customWidth="1"/>
    <col min="3" max="3" width="28.140625" style="19" customWidth="1"/>
    <col min="4" max="4" width="14.7109375" customWidth="1"/>
    <col min="5" max="5" width="10.28515625" style="2" hidden="1" customWidth="1"/>
    <col min="6" max="6" width="9.5703125" style="2" hidden="1" customWidth="1"/>
    <col min="7" max="7" width="9" style="2" hidden="1" customWidth="1"/>
    <col min="8" max="8" width="7" style="2" hidden="1" customWidth="1"/>
    <col min="9" max="9" width="14.7109375" style="2" customWidth="1"/>
    <col min="10" max="11" width="15.7109375" style="2" customWidth="1"/>
    <col min="12" max="16384" width="9.140625" style="2"/>
  </cols>
  <sheetData>
    <row r="1" spans="1:11" ht="18.75" x14ac:dyDescent="0.2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</row>
    <row r="2" spans="1:11" ht="18.75" x14ac:dyDescent="0.2">
      <c r="A2" s="1"/>
      <c r="B2" s="3"/>
      <c r="C2" s="3" t="s">
        <v>1</v>
      </c>
      <c r="D2" s="3"/>
      <c r="E2" s="1"/>
      <c r="F2" s="1"/>
      <c r="G2" s="1"/>
      <c r="H2" s="1"/>
      <c r="I2" s="1"/>
      <c r="J2" s="1"/>
    </row>
    <row r="3" spans="1:11" ht="18.75" x14ac:dyDescent="0.2">
      <c r="A3" s="1"/>
      <c r="B3" s="3"/>
      <c r="C3" s="3" t="s">
        <v>2</v>
      </c>
      <c r="D3" s="3"/>
      <c r="E3" s="1"/>
      <c r="F3" s="1"/>
      <c r="G3" s="1"/>
      <c r="H3" s="1"/>
      <c r="I3" s="1"/>
      <c r="J3" s="1"/>
    </row>
    <row r="4" spans="1:11" ht="18.75" x14ac:dyDescent="0.2">
      <c r="A4" s="1"/>
      <c r="B4" s="3"/>
      <c r="C4" s="3" t="s">
        <v>0</v>
      </c>
      <c r="D4" s="3"/>
      <c r="E4" s="1"/>
      <c r="F4" s="1"/>
      <c r="G4" s="1"/>
      <c r="H4" s="1"/>
      <c r="I4" s="4" t="s">
        <v>3</v>
      </c>
      <c r="J4" s="1"/>
    </row>
    <row r="5" spans="1:11" ht="19.5" thickBot="1" x14ac:dyDescent="0.25">
      <c r="C5" s="5"/>
      <c r="D5" s="1"/>
      <c r="E5" s="1"/>
      <c r="F5" s="1"/>
      <c r="G5" s="1"/>
      <c r="H5" s="1"/>
      <c r="I5" s="1"/>
      <c r="J5" s="1"/>
    </row>
    <row r="6" spans="1:11" ht="18.75" customHeight="1" x14ac:dyDescent="0.2">
      <c r="A6" s="20" t="s">
        <v>4</v>
      </c>
      <c r="B6" s="75" t="s">
        <v>5</v>
      </c>
      <c r="C6" s="76"/>
      <c r="D6" s="76"/>
      <c r="E6" s="76"/>
      <c r="F6" s="76"/>
      <c r="G6" s="76"/>
      <c r="H6" s="76"/>
      <c r="I6" s="77"/>
      <c r="J6" s="70"/>
    </row>
    <row r="7" spans="1:11" ht="27" customHeight="1" thickBot="1" x14ac:dyDescent="0.25">
      <c r="A7" s="21"/>
      <c r="B7" s="78"/>
      <c r="C7" s="79"/>
      <c r="D7" s="79"/>
      <c r="E7" s="79"/>
      <c r="F7" s="79"/>
      <c r="G7" s="79"/>
      <c r="H7" s="79"/>
      <c r="I7" s="80"/>
      <c r="J7" s="71"/>
    </row>
    <row r="8" spans="1:11" ht="29.25" thickBot="1" x14ac:dyDescent="0.25">
      <c r="A8" s="55" t="s">
        <v>6</v>
      </c>
      <c r="B8" s="56" t="s">
        <v>7</v>
      </c>
      <c r="C8" s="56" t="s">
        <v>8</v>
      </c>
      <c r="D8" s="57" t="s">
        <v>9</v>
      </c>
      <c r="E8" s="56" t="s">
        <v>21</v>
      </c>
      <c r="F8" s="56" t="s">
        <v>20</v>
      </c>
      <c r="G8" s="56" t="s">
        <v>13</v>
      </c>
      <c r="H8" s="56" t="s">
        <v>12</v>
      </c>
      <c r="I8" s="56" t="s">
        <v>10</v>
      </c>
      <c r="J8" s="56" t="s">
        <v>22</v>
      </c>
      <c r="K8" s="58" t="s">
        <v>11</v>
      </c>
    </row>
    <row r="9" spans="1:11" ht="14.25" hidden="1" x14ac:dyDescent="0.2">
      <c r="A9" s="23"/>
      <c r="B9" s="36"/>
      <c r="C9" s="37"/>
      <c r="D9" s="52"/>
      <c r="E9" s="27"/>
      <c r="F9" s="27"/>
      <c r="G9" s="27"/>
      <c r="H9" s="27"/>
      <c r="I9" s="38"/>
      <c r="J9" s="39"/>
      <c r="K9" s="40"/>
    </row>
    <row r="10" spans="1:11" ht="14.25" x14ac:dyDescent="0.2">
      <c r="A10" s="9"/>
      <c r="B10" s="31"/>
      <c r="C10" s="32"/>
      <c r="D10" s="53">
        <f>E10*F10</f>
        <v>1</v>
      </c>
      <c r="E10" s="33">
        <v>1</v>
      </c>
      <c r="F10" s="33">
        <v>1</v>
      </c>
      <c r="G10" s="34">
        <f>H10/E10</f>
        <v>0</v>
      </c>
      <c r="H10" s="33">
        <v>0</v>
      </c>
      <c r="I10" s="34">
        <f>D10/doc_cnt</f>
        <v>1</v>
      </c>
      <c r="J10" s="35">
        <f>G10/F10</f>
        <v>0</v>
      </c>
      <c r="K10" s="41">
        <f>J10*I10</f>
        <v>0</v>
      </c>
    </row>
    <row r="11" spans="1:11" ht="15" thickBot="1" x14ac:dyDescent="0.25">
      <c r="A11" s="22"/>
      <c r="B11" s="42"/>
      <c r="C11" s="43"/>
      <c r="D11" s="54"/>
      <c r="E11" s="44"/>
      <c r="F11" s="44"/>
      <c r="G11" s="44"/>
      <c r="H11" s="44"/>
      <c r="I11" s="45"/>
      <c r="J11" s="46"/>
      <c r="K11" s="47"/>
    </row>
    <row r="12" spans="1:11" ht="15" x14ac:dyDescent="0.25">
      <c r="A12" s="23"/>
      <c r="B12" s="24" t="s">
        <v>14</v>
      </c>
      <c r="C12" s="25"/>
      <c r="D12" s="26"/>
      <c r="E12" s="27"/>
      <c r="F12" s="29"/>
      <c r="G12" s="29"/>
      <c r="H12" s="29"/>
      <c r="I12" s="28"/>
      <c r="J12" s="29"/>
      <c r="K12" s="30"/>
    </row>
    <row r="13" spans="1:11" s="60" customFormat="1" ht="25.5" customHeight="1" thickBot="1" x14ac:dyDescent="0.25">
      <c r="A13" s="59"/>
      <c r="B13" s="72"/>
      <c r="C13" s="73"/>
      <c r="D13" s="74"/>
      <c r="E13" s="10">
        <v>1</v>
      </c>
      <c r="F13" s="48"/>
      <c r="G13" s="48"/>
      <c r="H13" s="48"/>
      <c r="I13" s="6"/>
      <c r="J13" s="7"/>
      <c r="K13" s="8"/>
    </row>
    <row r="14" spans="1:11" ht="25.5" customHeight="1" thickBot="1" x14ac:dyDescent="0.4">
      <c r="A14" s="11"/>
      <c r="B14" s="61" t="s">
        <v>15</v>
      </c>
      <c r="C14" s="62"/>
      <c r="D14" s="63"/>
      <c r="E14" s="12"/>
      <c r="F14" s="12"/>
      <c r="G14" s="12"/>
      <c r="H14" s="12"/>
      <c r="I14" s="13">
        <f>SUM(I9:I11)</f>
        <v>1</v>
      </c>
      <c r="J14" s="14"/>
      <c r="K14" s="15">
        <f>SUMIF(K9:K13,"&gt;0",K9:K13)</f>
        <v>0</v>
      </c>
    </row>
    <row r="15" spans="1:11" ht="25.5" customHeight="1" thickBot="1" x14ac:dyDescent="0.4">
      <c r="A15" s="11"/>
      <c r="B15" s="61" t="s">
        <v>16</v>
      </c>
      <c r="C15" s="62"/>
      <c r="D15" s="62"/>
      <c r="E15" s="62"/>
      <c r="F15" s="62"/>
      <c r="G15" s="62"/>
      <c r="H15" s="62"/>
      <c r="I15" s="63"/>
      <c r="J15" s="68">
        <f>pack_cnt</f>
        <v>1</v>
      </c>
      <c r="K15" s="69"/>
    </row>
    <row r="16" spans="1:11" ht="20.25" thickBot="1" x14ac:dyDescent="0.4">
      <c r="A16" s="11"/>
      <c r="B16" s="61" t="s">
        <v>17</v>
      </c>
      <c r="C16" s="62"/>
      <c r="D16" s="62"/>
      <c r="E16" s="62"/>
      <c r="F16" s="62"/>
      <c r="G16" s="62"/>
      <c r="H16" s="62"/>
      <c r="I16" s="63"/>
      <c r="J16" s="64">
        <f>K14*J15</f>
        <v>0</v>
      </c>
      <c r="K16" s="65"/>
    </row>
    <row r="17" spans="1:11" ht="20.25" thickBot="1" x14ac:dyDescent="0.4">
      <c r="A17" s="11"/>
      <c r="B17" s="61" t="s">
        <v>23</v>
      </c>
      <c r="C17" s="62"/>
      <c r="D17" s="62"/>
      <c r="E17" s="62"/>
      <c r="F17" s="62"/>
      <c r="G17" s="62"/>
      <c r="H17" s="62"/>
      <c r="I17" s="63"/>
      <c r="J17" s="64">
        <f>J16*0.18/1.18</f>
        <v>0</v>
      </c>
      <c r="K17" s="65"/>
    </row>
    <row r="18" spans="1:11" ht="15.75" x14ac:dyDescent="0.25">
      <c r="C18" s="16"/>
      <c r="D18" s="17"/>
    </row>
    <row r="19" spans="1:11" ht="15.75" x14ac:dyDescent="0.2">
      <c r="B19" s="49">
        <f ca="1">TODAY()</f>
        <v>42597</v>
      </c>
      <c r="C19" s="2"/>
      <c r="D19" s="5"/>
    </row>
    <row r="20" spans="1:11" x14ac:dyDescent="0.2">
      <c r="C20" s="2"/>
      <c r="D20" s="5"/>
    </row>
    <row r="21" spans="1:11" ht="15.75" x14ac:dyDescent="0.25">
      <c r="B21" s="50" t="s">
        <v>18</v>
      </c>
      <c r="C21" s="3"/>
      <c r="D21" s="3"/>
      <c r="E21" s="18"/>
      <c r="F21" s="18"/>
      <c r="G21" s="18"/>
      <c r="H21" s="18"/>
      <c r="I21" s="67" t="s">
        <v>19</v>
      </c>
      <c r="J21" s="67"/>
      <c r="K21" s="67"/>
    </row>
    <row r="22" spans="1:11" ht="15.75" x14ac:dyDescent="0.25">
      <c r="B22" s="66"/>
      <c r="C22" s="66"/>
      <c r="D22" s="3"/>
      <c r="E22" s="3"/>
      <c r="F22" s="3"/>
      <c r="G22" s="3"/>
      <c r="H22" s="3"/>
      <c r="I22" s="18"/>
      <c r="J22" s="67"/>
      <c r="K22" s="67"/>
    </row>
    <row r="23" spans="1:11" ht="15.75" x14ac:dyDescent="0.25">
      <c r="C23" s="16"/>
      <c r="D23" s="17"/>
    </row>
    <row r="24" spans="1:11" ht="15.75" x14ac:dyDescent="0.25">
      <c r="C24" s="16"/>
      <c r="D24" s="17"/>
    </row>
    <row r="25" spans="1:11" ht="15.75" x14ac:dyDescent="0.25">
      <c r="C25" s="16"/>
      <c r="D25" s="17"/>
    </row>
    <row r="26" spans="1:11" ht="15.75" x14ac:dyDescent="0.25">
      <c r="C26" s="16"/>
      <c r="D26" s="17"/>
    </row>
    <row r="27" spans="1:11" ht="15.75" x14ac:dyDescent="0.25">
      <c r="C27" s="16"/>
      <c r="D27" s="17"/>
    </row>
    <row r="28" spans="1:11" ht="15.75" x14ac:dyDescent="0.25">
      <c r="C28" s="16"/>
      <c r="D28" s="17"/>
    </row>
    <row r="29" spans="1:11" ht="15.75" x14ac:dyDescent="0.25">
      <c r="C29" s="16"/>
      <c r="D29" s="17"/>
    </row>
    <row r="30" spans="1:11" ht="15.75" x14ac:dyDescent="0.25">
      <c r="C30" s="16"/>
      <c r="D30" s="17"/>
    </row>
    <row r="31" spans="1:11" ht="15.75" x14ac:dyDescent="0.25">
      <c r="C31" s="16"/>
      <c r="D31" s="17"/>
    </row>
    <row r="32" spans="1:11" ht="15.75" x14ac:dyDescent="0.25">
      <c r="D32" s="17"/>
    </row>
    <row r="33" spans="4:4" ht="15.75" x14ac:dyDescent="0.25">
      <c r="D33" s="17"/>
    </row>
    <row r="34" spans="4:4" ht="15.75" x14ac:dyDescent="0.25">
      <c r="D34" s="17"/>
    </row>
    <row r="35" spans="4:4" ht="15.75" x14ac:dyDescent="0.25">
      <c r="D35" s="17"/>
    </row>
    <row r="36" spans="4:4" ht="15.75" x14ac:dyDescent="0.25">
      <c r="D36" s="17"/>
    </row>
    <row r="37" spans="4:4" ht="15.75" x14ac:dyDescent="0.25">
      <c r="D37" s="17"/>
    </row>
    <row r="38" spans="4:4" ht="15.75" x14ac:dyDescent="0.25">
      <c r="D38" s="17"/>
    </row>
    <row r="39" spans="4:4" ht="15.75" x14ac:dyDescent="0.25">
      <c r="D39" s="17"/>
    </row>
    <row r="40" spans="4:4" ht="15.75" x14ac:dyDescent="0.25">
      <c r="D40" s="17"/>
    </row>
    <row r="41" spans="4:4" ht="15.75" x14ac:dyDescent="0.25">
      <c r="D41" s="17"/>
    </row>
    <row r="42" spans="4:4" ht="15.75" x14ac:dyDescent="0.25">
      <c r="D42" s="17"/>
    </row>
    <row r="43" spans="4:4" ht="15.75" x14ac:dyDescent="0.25">
      <c r="D43" s="17"/>
    </row>
    <row r="44" spans="4:4" ht="15.75" x14ac:dyDescent="0.25">
      <c r="D44" s="17"/>
    </row>
    <row r="45" spans="4:4" ht="15.75" x14ac:dyDescent="0.25">
      <c r="D45" s="17"/>
    </row>
    <row r="46" spans="4:4" ht="15.75" x14ac:dyDescent="0.25">
      <c r="D46" s="17"/>
    </row>
    <row r="47" spans="4:4" ht="15.75" x14ac:dyDescent="0.25">
      <c r="D47" s="17"/>
    </row>
    <row r="48" spans="4:4" ht="15.75" x14ac:dyDescent="0.25">
      <c r="D48" s="17"/>
    </row>
    <row r="49" spans="4:4" ht="15.75" x14ac:dyDescent="0.25">
      <c r="D49" s="17"/>
    </row>
    <row r="50" spans="4:4" ht="15.75" x14ac:dyDescent="0.25">
      <c r="D50" s="17"/>
    </row>
    <row r="51" spans="4:4" ht="15.75" x14ac:dyDescent="0.25">
      <c r="D51" s="17"/>
    </row>
    <row r="52" spans="4:4" ht="15.75" x14ac:dyDescent="0.25">
      <c r="D52" s="17"/>
    </row>
    <row r="53" spans="4:4" ht="15.75" x14ac:dyDescent="0.25">
      <c r="D53" s="17"/>
    </row>
    <row r="54" spans="4:4" ht="15.75" x14ac:dyDescent="0.25">
      <c r="D54" s="17"/>
    </row>
    <row r="55" spans="4:4" ht="15.75" x14ac:dyDescent="0.25">
      <c r="D55" s="17"/>
    </row>
    <row r="56" spans="4:4" ht="15.75" x14ac:dyDescent="0.25">
      <c r="D56" s="17"/>
    </row>
    <row r="57" spans="4:4" ht="15.75" x14ac:dyDescent="0.25">
      <c r="D57" s="17"/>
    </row>
    <row r="58" spans="4:4" ht="15.75" x14ac:dyDescent="0.25">
      <c r="D58" s="17"/>
    </row>
    <row r="59" spans="4:4" ht="15.75" x14ac:dyDescent="0.25">
      <c r="D59" s="17"/>
    </row>
    <row r="60" spans="4:4" ht="15.75" x14ac:dyDescent="0.25">
      <c r="D60" s="17"/>
    </row>
    <row r="61" spans="4:4" ht="15.75" x14ac:dyDescent="0.25">
      <c r="D61" s="17"/>
    </row>
    <row r="62" spans="4:4" ht="15.75" x14ac:dyDescent="0.25">
      <c r="D62" s="17"/>
    </row>
    <row r="63" spans="4:4" ht="15.75" x14ac:dyDescent="0.25">
      <c r="D63" s="17"/>
    </row>
    <row r="64" spans="4:4" ht="15.75" x14ac:dyDescent="0.25">
      <c r="D64" s="17"/>
    </row>
    <row r="65" spans="4:4" ht="15.75" x14ac:dyDescent="0.25">
      <c r="D65" s="17"/>
    </row>
    <row r="66" spans="4:4" ht="15.75" x14ac:dyDescent="0.25">
      <c r="D66" s="17"/>
    </row>
    <row r="67" spans="4:4" ht="15.75" x14ac:dyDescent="0.25">
      <c r="D67" s="17"/>
    </row>
    <row r="68" spans="4:4" ht="15.75" x14ac:dyDescent="0.25">
      <c r="D68" s="17"/>
    </row>
    <row r="69" spans="4:4" ht="15.75" x14ac:dyDescent="0.25">
      <c r="D69" s="17"/>
    </row>
    <row r="70" spans="4:4" ht="15.75" x14ac:dyDescent="0.25">
      <c r="D70" s="17"/>
    </row>
    <row r="71" spans="4:4" ht="15.75" x14ac:dyDescent="0.25">
      <c r="D71" s="17"/>
    </row>
    <row r="72" spans="4:4" ht="15.75" x14ac:dyDescent="0.25">
      <c r="D72" s="17"/>
    </row>
    <row r="73" spans="4:4" ht="15.75" x14ac:dyDescent="0.25">
      <c r="D73" s="17"/>
    </row>
    <row r="74" spans="4:4" ht="15.75" x14ac:dyDescent="0.25">
      <c r="D74" s="17"/>
    </row>
    <row r="75" spans="4:4" ht="15.75" x14ac:dyDescent="0.25">
      <c r="D75" s="17"/>
    </row>
    <row r="76" spans="4:4" ht="15.75" x14ac:dyDescent="0.25">
      <c r="D76" s="17"/>
    </row>
    <row r="77" spans="4:4" ht="15.75" x14ac:dyDescent="0.25">
      <c r="D77" s="17"/>
    </row>
    <row r="78" spans="4:4" ht="15.75" x14ac:dyDescent="0.25">
      <c r="D78" s="17"/>
    </row>
    <row r="79" spans="4:4" ht="15.75" x14ac:dyDescent="0.25">
      <c r="D79" s="17"/>
    </row>
    <row r="80" spans="4:4" ht="15.75" x14ac:dyDescent="0.25">
      <c r="D80" s="17"/>
    </row>
    <row r="81" spans="4:4" ht="15.75" x14ac:dyDescent="0.25">
      <c r="D81" s="17"/>
    </row>
    <row r="82" spans="4:4" ht="15.75" x14ac:dyDescent="0.25">
      <c r="D82" s="17"/>
    </row>
    <row r="83" spans="4:4" ht="15.75" x14ac:dyDescent="0.25">
      <c r="D83" s="17"/>
    </row>
    <row r="84" spans="4:4" ht="15.75" x14ac:dyDescent="0.25">
      <c r="D84" s="17"/>
    </row>
    <row r="85" spans="4:4" ht="15.75" x14ac:dyDescent="0.25">
      <c r="D85" s="17"/>
    </row>
    <row r="86" spans="4:4" ht="15.75" x14ac:dyDescent="0.25">
      <c r="D86" s="17"/>
    </row>
    <row r="87" spans="4:4" ht="15.75" x14ac:dyDescent="0.25">
      <c r="D87" s="17"/>
    </row>
    <row r="88" spans="4:4" ht="15.75" x14ac:dyDescent="0.25">
      <c r="D88" s="17"/>
    </row>
    <row r="89" spans="4:4" ht="15.75" x14ac:dyDescent="0.25">
      <c r="D89" s="17"/>
    </row>
    <row r="90" spans="4:4" ht="15.75" x14ac:dyDescent="0.25">
      <c r="D90" s="17"/>
    </row>
    <row r="91" spans="4:4" ht="15.75" x14ac:dyDescent="0.25">
      <c r="D91" s="17"/>
    </row>
    <row r="92" spans="4:4" ht="15.75" x14ac:dyDescent="0.25">
      <c r="D92" s="17"/>
    </row>
    <row r="93" spans="4:4" ht="15.75" x14ac:dyDescent="0.25">
      <c r="D93" s="17"/>
    </row>
    <row r="94" spans="4:4" ht="15.75" x14ac:dyDescent="0.25">
      <c r="D94" s="17"/>
    </row>
    <row r="95" spans="4:4" ht="15.75" x14ac:dyDescent="0.25">
      <c r="D95" s="17"/>
    </row>
    <row r="96" spans="4:4" ht="15.75" x14ac:dyDescent="0.25">
      <c r="D96" s="17"/>
    </row>
    <row r="97" spans="4:4" ht="15.75" x14ac:dyDescent="0.25">
      <c r="D97" s="17"/>
    </row>
    <row r="98" spans="4:4" ht="15.75" x14ac:dyDescent="0.25">
      <c r="D98" s="17"/>
    </row>
    <row r="99" spans="4:4" ht="15.75" x14ac:dyDescent="0.25">
      <c r="D99" s="17"/>
    </row>
    <row r="100" spans="4:4" ht="15.75" x14ac:dyDescent="0.25">
      <c r="D100" s="17"/>
    </row>
    <row r="101" spans="4:4" ht="15.75" x14ac:dyDescent="0.25">
      <c r="D101" s="17"/>
    </row>
    <row r="102" spans="4:4" ht="15.75" x14ac:dyDescent="0.25">
      <c r="D102" s="17"/>
    </row>
    <row r="103" spans="4:4" ht="15.75" x14ac:dyDescent="0.25">
      <c r="D103" s="17"/>
    </row>
    <row r="104" spans="4:4" ht="15.75" x14ac:dyDescent="0.25">
      <c r="D104" s="17"/>
    </row>
    <row r="105" spans="4:4" ht="15.75" x14ac:dyDescent="0.25">
      <c r="D105" s="17"/>
    </row>
    <row r="106" spans="4:4" ht="15.75" x14ac:dyDescent="0.25">
      <c r="D106" s="17"/>
    </row>
    <row r="107" spans="4:4" ht="15.75" x14ac:dyDescent="0.25">
      <c r="D107" s="17"/>
    </row>
    <row r="108" spans="4:4" ht="15.75" x14ac:dyDescent="0.25">
      <c r="D108" s="17"/>
    </row>
    <row r="109" spans="4:4" ht="15.75" x14ac:dyDescent="0.25">
      <c r="D109" s="17"/>
    </row>
    <row r="110" spans="4:4" ht="15.75" x14ac:dyDescent="0.25">
      <c r="D110" s="17"/>
    </row>
    <row r="111" spans="4:4" ht="15.75" x14ac:dyDescent="0.25">
      <c r="D111" s="17"/>
    </row>
    <row r="112" spans="4:4" ht="15.75" x14ac:dyDescent="0.25">
      <c r="D112" s="17"/>
    </row>
    <row r="113" spans="4:4" ht="15.75" x14ac:dyDescent="0.25">
      <c r="D113" s="17"/>
    </row>
    <row r="114" spans="4:4" ht="15.75" x14ac:dyDescent="0.25">
      <c r="D114" s="17"/>
    </row>
    <row r="115" spans="4:4" ht="15.75" x14ac:dyDescent="0.25">
      <c r="D115" s="17"/>
    </row>
    <row r="116" spans="4:4" ht="15.75" x14ac:dyDescent="0.25">
      <c r="D116" s="17"/>
    </row>
    <row r="117" spans="4:4" ht="15.75" x14ac:dyDescent="0.25">
      <c r="D117" s="17"/>
    </row>
    <row r="118" spans="4:4" ht="15.75" x14ac:dyDescent="0.25">
      <c r="D118" s="17"/>
    </row>
    <row r="119" spans="4:4" ht="15.75" x14ac:dyDescent="0.25">
      <c r="D119" s="17"/>
    </row>
    <row r="120" spans="4:4" ht="15.75" x14ac:dyDescent="0.25">
      <c r="D120" s="17"/>
    </row>
    <row r="121" spans="4:4" ht="15.75" x14ac:dyDescent="0.25">
      <c r="D121" s="17"/>
    </row>
    <row r="122" spans="4:4" ht="15.75" x14ac:dyDescent="0.25">
      <c r="D122" s="17"/>
    </row>
    <row r="123" spans="4:4" ht="15.75" x14ac:dyDescent="0.25">
      <c r="D123" s="17"/>
    </row>
    <row r="124" spans="4:4" ht="15.75" x14ac:dyDescent="0.25">
      <c r="D124" s="17"/>
    </row>
    <row r="125" spans="4:4" ht="15.75" x14ac:dyDescent="0.25">
      <c r="D125" s="17"/>
    </row>
    <row r="126" spans="4:4" ht="15.75" x14ac:dyDescent="0.25">
      <c r="D126" s="17"/>
    </row>
    <row r="127" spans="4:4" ht="15.75" x14ac:dyDescent="0.25">
      <c r="D127" s="17"/>
    </row>
    <row r="128" spans="4:4" ht="15.75" x14ac:dyDescent="0.25">
      <c r="D128" s="17"/>
    </row>
    <row r="129" spans="4:4" ht="15.75" x14ac:dyDescent="0.25">
      <c r="D129" s="17"/>
    </row>
    <row r="130" spans="4:4" ht="15.75" x14ac:dyDescent="0.25">
      <c r="D130" s="17"/>
    </row>
    <row r="131" spans="4:4" ht="15.75" x14ac:dyDescent="0.25">
      <c r="D131" s="17"/>
    </row>
    <row r="132" spans="4:4" ht="15.75" x14ac:dyDescent="0.25">
      <c r="D132" s="17"/>
    </row>
    <row r="133" spans="4:4" ht="15.75" x14ac:dyDescent="0.25">
      <c r="D133" s="17"/>
    </row>
    <row r="134" spans="4:4" ht="15.75" x14ac:dyDescent="0.25">
      <c r="D134" s="17"/>
    </row>
    <row r="135" spans="4:4" ht="15.75" x14ac:dyDescent="0.25">
      <c r="D135" s="17"/>
    </row>
    <row r="136" spans="4:4" ht="15.75" x14ac:dyDescent="0.25">
      <c r="D136" s="17"/>
    </row>
    <row r="137" spans="4:4" ht="15.75" x14ac:dyDescent="0.25">
      <c r="D137" s="17"/>
    </row>
    <row r="138" spans="4:4" ht="15.75" x14ac:dyDescent="0.25">
      <c r="D138" s="17"/>
    </row>
    <row r="139" spans="4:4" ht="15.75" x14ac:dyDescent="0.25">
      <c r="D139" s="17"/>
    </row>
    <row r="140" spans="4:4" ht="15.75" x14ac:dyDescent="0.25">
      <c r="D140" s="17"/>
    </row>
    <row r="141" spans="4:4" ht="15.75" x14ac:dyDescent="0.25">
      <c r="D141" s="17"/>
    </row>
    <row r="142" spans="4:4" ht="15.75" x14ac:dyDescent="0.25">
      <c r="D142" s="17"/>
    </row>
    <row r="143" spans="4:4" ht="15.75" x14ac:dyDescent="0.25">
      <c r="D143" s="17"/>
    </row>
    <row r="144" spans="4:4" ht="15.75" x14ac:dyDescent="0.25">
      <c r="D144" s="17"/>
    </row>
    <row r="145" spans="4:4" ht="15.75" x14ac:dyDescent="0.25">
      <c r="D145" s="17"/>
    </row>
    <row r="146" spans="4:4" ht="15.75" x14ac:dyDescent="0.25">
      <c r="D146" s="17"/>
    </row>
    <row r="147" spans="4:4" ht="15.75" x14ac:dyDescent="0.25">
      <c r="D147" s="17"/>
    </row>
    <row r="148" spans="4:4" ht="15.75" x14ac:dyDescent="0.25">
      <c r="D148" s="17"/>
    </row>
    <row r="149" spans="4:4" ht="15.75" x14ac:dyDescent="0.25">
      <c r="D149" s="17"/>
    </row>
    <row r="150" spans="4:4" ht="15.75" x14ac:dyDescent="0.25">
      <c r="D150" s="17"/>
    </row>
    <row r="151" spans="4:4" ht="15.75" x14ac:dyDescent="0.25">
      <c r="D151" s="17"/>
    </row>
    <row r="152" spans="4:4" ht="15.75" x14ac:dyDescent="0.25">
      <c r="D152" s="17"/>
    </row>
    <row r="153" spans="4:4" ht="15.75" x14ac:dyDescent="0.25">
      <c r="D153" s="17"/>
    </row>
    <row r="154" spans="4:4" ht="15.75" x14ac:dyDescent="0.25">
      <c r="D154" s="17"/>
    </row>
    <row r="155" spans="4:4" ht="15.75" x14ac:dyDescent="0.25">
      <c r="D155" s="17"/>
    </row>
    <row r="156" spans="4:4" ht="15.75" x14ac:dyDescent="0.25">
      <c r="D156" s="17"/>
    </row>
    <row r="157" spans="4:4" ht="15.75" x14ac:dyDescent="0.25">
      <c r="D157" s="17"/>
    </row>
    <row r="158" spans="4:4" ht="15.75" x14ac:dyDescent="0.25">
      <c r="D158" s="17"/>
    </row>
    <row r="159" spans="4:4" ht="15.75" x14ac:dyDescent="0.25">
      <c r="D159" s="17"/>
    </row>
    <row r="160" spans="4:4" ht="15.75" x14ac:dyDescent="0.25">
      <c r="D160" s="17"/>
    </row>
    <row r="161" spans="4:4" ht="15.75" x14ac:dyDescent="0.25">
      <c r="D161" s="17"/>
    </row>
    <row r="162" spans="4:4" ht="15.75" x14ac:dyDescent="0.25">
      <c r="D162" s="17"/>
    </row>
    <row r="163" spans="4:4" ht="15.75" x14ac:dyDescent="0.25">
      <c r="D163" s="17"/>
    </row>
    <row r="164" spans="4:4" ht="15.75" x14ac:dyDescent="0.25">
      <c r="D164" s="17"/>
    </row>
    <row r="165" spans="4:4" ht="15.75" x14ac:dyDescent="0.25">
      <c r="D165" s="17"/>
    </row>
    <row r="166" spans="4:4" ht="15.75" x14ac:dyDescent="0.25">
      <c r="D166" s="17"/>
    </row>
    <row r="167" spans="4:4" ht="15.75" x14ac:dyDescent="0.25">
      <c r="D167" s="17"/>
    </row>
    <row r="168" spans="4:4" ht="15.75" x14ac:dyDescent="0.25">
      <c r="D168" s="17"/>
    </row>
    <row r="169" spans="4:4" ht="15.75" x14ac:dyDescent="0.25">
      <c r="D169" s="17"/>
    </row>
    <row r="170" spans="4:4" ht="15.75" x14ac:dyDescent="0.25">
      <c r="D170" s="17"/>
    </row>
    <row r="171" spans="4:4" ht="15.75" x14ac:dyDescent="0.25">
      <c r="D171" s="17"/>
    </row>
    <row r="172" spans="4:4" ht="15.75" x14ac:dyDescent="0.25">
      <c r="D172" s="17"/>
    </row>
    <row r="173" spans="4:4" ht="15.75" x14ac:dyDescent="0.25">
      <c r="D173" s="17"/>
    </row>
    <row r="174" spans="4:4" ht="15.75" x14ac:dyDescent="0.25">
      <c r="D174" s="17"/>
    </row>
    <row r="175" spans="4:4" ht="15.75" x14ac:dyDescent="0.25">
      <c r="D175" s="17"/>
    </row>
    <row r="176" spans="4:4" ht="15.75" x14ac:dyDescent="0.25">
      <c r="D176" s="17"/>
    </row>
    <row r="177" spans="4:4" ht="15.75" x14ac:dyDescent="0.25">
      <c r="D177" s="17"/>
    </row>
    <row r="178" spans="4:4" ht="15.75" x14ac:dyDescent="0.25">
      <c r="D178" s="17"/>
    </row>
    <row r="179" spans="4:4" ht="15.75" x14ac:dyDescent="0.25">
      <c r="D179" s="17"/>
    </row>
    <row r="180" spans="4:4" ht="15.75" x14ac:dyDescent="0.25">
      <c r="D180" s="17"/>
    </row>
  </sheetData>
  <mergeCells count="13">
    <mergeCell ref="B14:D14"/>
    <mergeCell ref="B15:I15"/>
    <mergeCell ref="J15:K15"/>
    <mergeCell ref="J6:J7"/>
    <mergeCell ref="B13:D13"/>
    <mergeCell ref="B6:I7"/>
    <mergeCell ref="B16:I16"/>
    <mergeCell ref="J16:K16"/>
    <mergeCell ref="B22:C22"/>
    <mergeCell ref="J22:K22"/>
    <mergeCell ref="I21:K21"/>
    <mergeCell ref="J17:K17"/>
    <mergeCell ref="B17:I17"/>
  </mergeCells>
  <phoneticPr fontId="26" type="noConversion"/>
  <pageMargins left="0.59055118110236227" right="0.59055118110236227" top="0.19685039370078741" bottom="0.19685039370078741" header="0" footer="0.51181102362204722"/>
  <pageSetup paperSize="9" scale="7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14</vt:i4>
      </vt:variant>
    </vt:vector>
  </HeadingPairs>
  <TitlesOfParts>
    <vt:vector size="16" baseType="lpstr">
      <vt:lpstr>Work</vt:lpstr>
      <vt:lpstr>004 лот1</vt:lpstr>
      <vt:lpstr>doc_cnt</vt:lpstr>
      <vt:lpstr>doc_lot</vt:lpstr>
      <vt:lpstr>doc_no</vt:lpstr>
      <vt:lpstr>pack_cnt</vt:lpstr>
      <vt:lpstr>pack_name</vt:lpstr>
      <vt:lpstr>pack_price</vt:lpstr>
      <vt:lpstr>ProdRec</vt:lpstr>
      <vt:lpstr>rec.allcnt</vt:lpstr>
      <vt:lpstr>rec.productname</vt:lpstr>
      <vt:lpstr>rec.produser</vt:lpstr>
      <vt:lpstr>rec.summ</vt:lpstr>
      <vt:lpstr>rec.weight</vt:lpstr>
      <vt:lpstr>rec_no</vt:lpstr>
      <vt:lpstr>'004 лот1'!Область_печати</vt:lpstr>
    </vt:vector>
  </TitlesOfParts>
  <Company>Рубин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ПК</dc:creator>
  <cp:lastModifiedBy>Yuri Dursin</cp:lastModifiedBy>
  <dcterms:created xsi:type="dcterms:W3CDTF">2016-05-12T11:27:31Z</dcterms:created>
  <dcterms:modified xsi:type="dcterms:W3CDTF">2016-08-15T15:41:00Z</dcterms:modified>
</cp:coreProperties>
</file>